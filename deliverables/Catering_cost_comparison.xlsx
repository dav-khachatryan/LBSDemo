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8ea5eda88141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st comparison" sheetId="1" r:id="R934650df08cf4b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 mmm yyyy"/>
    <x:numFmt numFmtId="201" formatCode="#,##0.00"/>
    <x:numFmt numFmtId="202" formatCode="0%"/>
  </x:numFmts>
  <x:fonts count="5">
    <x:font>
      <x:sz val="11"/>
      <x:name val="Carlito"/>
    </x:font>
    <x:font>
      <x:sz val="11"/>
      <x:name val="Arial"/>
    </x:font>
    <x:font>
      <x:b/>
      <x:sz val="16"/>
      <x:name val="Arial"/>
    </x:font>
    <x:font>
      <x:b/>
      <x:sz val="11"/>
      <x:color rgb="FFFFFFFF"/>
      <x:name val="Arial"/>
    </x:font>
    <x:font>
      <x:b/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253C53"/>
      </x:patternFill>
    </x:fill>
    <x:fill>
      <x:patternFill patternType="solid">
        <x:fgColor rgb="FFEAF0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1" fillId="4" borderId="0" xfId="0" applyNumberFormat="1" applyFont="1" applyFill="1" applyBorder="1"/>
    <x:xf numFmtId="201" fontId="1" fillId="4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</x:cellXfs>
  <x:cellStyles count="1">
    <x:cellStyle name="Normal" xfId="0"/>
  </x:cellStyles>
  <x:dxfs count="2">
    <x:dxf>
      <x:font>
        <x:color rgb="FF9C0006"/>
      </x:font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a261ecc4ce4832" /><Relationship Type="http://schemas.openxmlformats.org/officeDocument/2006/relationships/theme" Target="/xl/theme/theme1.xml" Id="R65e313dea358463d" /><Relationship Type="http://schemas.openxmlformats.org/officeDocument/2006/relationships/sharedStrings" Target="/xl/sharedStrings.xml" Id="Rb0cea796fc9a42e1" /><Relationship Type="http://schemas.openxmlformats.org/officeDocument/2006/relationships/worksheet" Target="/xl/worksheets/sheet1.xml" Id="R934650df08cf4b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23" hidden="0" customWidth="1"/>
    <x:col min="3" max="3" width="23" hidden="0" customWidth="1"/>
    <x:col min="4" max="4" width="23" hidden="0" customWidth="1"/>
    <x:col min="5" max="5" width="3" hidden="0" customWidth="1"/>
  </x:cols>
  <x:sheetData>
    <x:row r="1" ht="23" customHeight="1">
      <x:c r="A1" s="1"/>
      <x:c r="B1" s="1"/>
      <x:c r="C1" s="1"/>
      <x:c r="D1" s="1"/>
      <x:c r="E1" s="1"/>
    </x:row>
    <x:row r="2" ht="23" customHeight="1">
      <x:c r="A2" s="2" t="str">
        <x:v>Leadership workshop catering</x:v>
      </x:c>
      <x:c r="B2" s="1"/>
      <x:c r="C2" s="1"/>
      <x:c r="D2" s="1"/>
      <x:c r="E2" s="1"/>
    </x:row>
    <x:row r="3" ht="23" customHeight="1">
      <x:c r="A3" s="1" t="str">
        <x:v>Fictional training exercise</x:v>
      </x:c>
      <x:c r="B3" s="1"/>
      <x:c r="C3" s="1"/>
      <x:c r="D3" s="1"/>
      <x:c r="E3" s="1"/>
    </x:row>
    <x:row r="4" ht="23" customHeight="1">
      <x:c r="A4" s="1"/>
      <x:c r="B4" s="1"/>
      <x:c r="C4" s="1"/>
      <x:c r="D4" s="1"/>
      <x:c r="E4" s="1"/>
    </x:row>
    <x:row r="5" ht="23" customHeight="1">
      <x:c r="A5" s="1" t="str">
        <x:v>Attendees (editable planning input)</x:v>
      </x:c>
      <x:c r="B5" s="4" t="n">
        <x:v>80</x:v>
      </x:c>
      <x:c r="C5" s="1"/>
      <x:c r="D5" s="1"/>
      <x:c r="E5" s="1"/>
    </x:row>
    <x:row r="6" ht="23" customHeight="1">
      <x:c r="A6" s="1" t="str">
        <x:v>Maximum total payable (EUR)</x:v>
      </x:c>
      <x:c r="B6" s="6" t="n">
        <x:v>6000</x:v>
      </x:c>
      <x:c r="C6" s="1"/>
      <x:c r="D6" s="1"/>
      <x:c r="E6" s="1"/>
    </x:row>
    <x:row r="7" ht="23" customHeight="1">
      <x:c r="A7" s="1" t="str">
        <x:v>Fixed event date</x:v>
      </x:c>
      <x:c r="B7" s="3" t="d">
        <x:v>2026-11-20T00:00:00.000Z</x:v>
      </x:c>
      <x:c r="C7" s="1"/>
      <x:c r="D7" s="1"/>
      <x:c r="E7" s="1"/>
    </x:row>
    <x:row r="8" ht="23" customHeight="1">
      <x:c r="A8" s="1"/>
      <x:c r="B8" s="1"/>
      <x:c r="C8" s="1"/>
      <x:c r="D8" s="1"/>
      <x:c r="E8" s="1"/>
    </x:row>
    <x:row r="9" ht="23" customHeight="1">
      <x:c r="A9" s="9" t="str">
        <x:v>Comparable result</x:v>
      </x:c>
      <x:c r="B9" s="9" t="str">
        <x:v>Supplier A</x:v>
      </x:c>
      <x:c r="C9" s="9" t="str">
        <x:v>Supplier B</x:v>
      </x:c>
      <x:c r="D9" s="9" t="str">
        <x:v>Supplier C</x:v>
      </x:c>
      <x:c r="E9" s="1"/>
    </x:row>
    <x:row r="10" ht="23" customHeight="1">
      <x:c r="A10" s="12" t="str">
        <x:v>Total payable (EUR)</x:v>
      </x:c>
      <x:c r="B10" s="13" t="n">
        <x:f>SUM(B25:B26)+B20</x:f>
        <x:v>4750.8</x:v>
      </x:c>
      <x:c r="C10" s="13" t="n">
        <x:f>SUM(C25:C26)+C20</x:f>
        <x:v>4320</x:v>
      </x:c>
      <x:c r="D10" s="13" t="n">
        <x:f>SUM(D25:D26)+D20</x:f>
        <x:v>4660</x:v>
      </x:c>
      <x:c r="E10" s="1"/>
    </x:row>
    <x:row r="11" ht="23" customHeight="1">
      <x:c r="A11" s="10" t="str">
        <x:v>Budget remaining (EUR)</x:v>
      </x:c>
      <x:c r="B11" s="11" t="n">
        <x:f>$B$6-B10</x:f>
        <x:v>1249.1999999999998</x:v>
      </x:c>
      <x:c r="C11" s="11" t="n">
        <x:f>$B$6-C10</x:f>
        <x:v>1680</x:v>
      </x:c>
      <x:c r="D11" s="11" t="n">
        <x:f>$B$6-D10</x:f>
        <x:v>1340</x:v>
      </x:c>
      <x:c r="E11" s="1"/>
    </x:row>
    <x:row r="12" ht="23" customHeight="1">
      <x:c r="A12" s="1" t="str">
        <x:v>Within budget</x:v>
      </x:c>
      <x:c r="B12" s="1" t="str">
        <x:f>IF(B10&lt;=$B$6,"Yes","No")</x:f>
        <x:v>Yes</x:v>
      </x:c>
      <x:c r="C12" s="1" t="str">
        <x:f>IF(C10&lt;=$B$6,"Yes","No")</x:f>
        <x:v>Yes</x:v>
      </x:c>
      <x:c r="D12" s="1" t="str">
        <x:f>IF(D10&lt;=$B$6,"Yes","No")</x:f>
        <x:v>Yes</x:v>
      </x:c>
      <x:c r="E12" s="1"/>
    </x:row>
    <x:row r="13" ht="23" customHeight="1">
      <x:c r="A13" s="1" t="str">
        <x:v>Within service capacity</x:v>
      </x:c>
      <x:c r="B13" s="1" t="str">
        <x:f>IF($B$5&lt;=B22,"Yes","No")</x:f>
        <x:v>Yes</x:v>
      </x:c>
      <x:c r="C13" s="1" t="str">
        <x:f>IF($B$5&lt;=C22,"Yes","No")</x:f>
        <x:v>Yes</x:v>
      </x:c>
      <x:c r="D13" s="1" t="str">
        <x:f>IF($B$5&lt;=D22,"Yes","No")</x:f>
        <x:v>Yes</x:v>
      </x:c>
      <x:c r="E13" s="1"/>
    </x:row>
    <x:row r="14" ht="23" customHeight="1">
      <x:c r="A14" s="1" t="str">
        <x:v>Date availability</x:v>
      </x:c>
      <x:c r="B14" s="1" t="str">
        <x:f>IF(B23=1,"Confirmed","Pending")</x:f>
        <x:v>Confirmed</x:v>
      </x:c>
      <x:c r="C14" s="1" t="str">
        <x:f>IF(C23=1,"Confirmed","Pending")</x:f>
        <x:v>Confirmed</x:v>
      </x:c>
      <x:c r="D14" s="1" t="str">
        <x:f>IF(D23=1,"Confirmed","Pending")</x:f>
        <x:v>Pending</x:v>
      </x:c>
      <x:c r="E14" s="1"/>
    </x:row>
    <x:row r="15" ht="23" customHeight="1">
      <x:c r="A15" s="1" t="str">
        <x:v>Eligible on supplied facts</x:v>
      </x:c>
      <x:c r="B15" s="1" t="str">
        <x:f>IF(AND(B12="Yes",B13="Yes",B23=1),"Yes","No")</x:f>
        <x:v>Yes</x:v>
      </x:c>
      <x:c r="C15" s="1" t="str">
        <x:f>IF(AND(C12="Yes",C13="Yes",C23=1),"Yes","No")</x:f>
        <x:v>Yes</x:v>
      </x:c>
      <x:c r="D15" s="1" t="str">
        <x:f>IF(AND(D12="Yes",D13="Yes",D23=1),"Yes","No")</x:f>
        <x:v>No</x:v>
      </x:c>
      <x:c r="E15" s="1"/>
    </x:row>
    <x:row r="16" ht="23" customHeight="1">
      <x:c r="A16" s="1"/>
      <x:c r="B16" s="1"/>
      <x:c r="C16" s="1"/>
      <x:c r="D16" s="1"/>
      <x:c r="E16" s="1"/>
    </x:row>
    <x:row r="17" ht="23" customHeight="1">
      <x:c r="A17" s="9" t="str">
        <x:v>Calculation and material inputs</x:v>
      </x:c>
      <x:c r="B17" s="9"/>
      <x:c r="C17" s="9"/>
      <x:c r="D17" s="9"/>
      <x:c r="E17" s="1"/>
    </x:row>
    <x:row r="18" ht="23" customHeight="1">
      <x:c r="A18" s="1" t="str">
        <x:v>Rate per billable person (EUR)</x:v>
      </x:c>
      <x:c r="B18" s="6" t="n">
        <x:v>48</x:v>
      </x:c>
      <x:c r="C18" s="6" t="n">
        <x:v>54</x:v>
      </x:c>
      <x:c r="D18" s="6" t="n">
        <x:v>44</x:v>
      </x:c>
      <x:c r="E18" s="1"/>
    </x:row>
    <x:row r="19" ht="23" customHeight="1">
      <x:c r="A19" s="1" t="str">
        <x:v>Minimum billable people</x:v>
      </x:c>
      <x:c r="B19" s="1" t="n">
        <x:v>0</x:v>
      </x:c>
      <x:c r="C19" s="1" t="n">
        <x:v>0</x:v>
      </x:c>
      <x:c r="D19" s="1" t="n">
        <x:v>90</x:v>
      </x:c>
      <x:c r="E19" s="1"/>
    </x:row>
    <x:row r="20" ht="23" customHeight="1">
      <x:c r="A20" s="1" t="str">
        <x:v>Flat fee (EUR)</x:v>
      </x:c>
      <x:c r="B20" s="6" t="n">
        <x:v>450</x:v>
      </x:c>
      <x:c r="C20" s="6" t="n">
        <x:v>0</x:v>
      </x:c>
      <x:c r="D20" s="6" t="n">
        <x:v>700</x:v>
      </x:c>
      <x:c r="E20" s="1"/>
    </x:row>
    <x:row r="21" ht="23" customHeight="1">
      <x:c r="A21" s="1" t="str">
        <x:v>Compulsory service charge</x:v>
      </x:c>
      <x:c r="B21" s="7" t="n">
        <x:v>0.12</x:v>
      </x:c>
      <x:c r="C21" s="7" t="n">
        <x:v>0</x:v>
      </x:c>
      <x:c r="D21" s="7" t="n">
        <x:v>0</x:v>
      </x:c>
      <x:c r="E21" s="1"/>
    </x:row>
    <x:row r="22" ht="23" customHeight="1">
      <x:c r="A22" s="1" t="str">
        <x:v>Maximum service capacity</x:v>
      </x:c>
      <x:c r="B22" s="1" t="n">
        <x:v>120</x:v>
      </x:c>
      <x:c r="C22" s="1" t="n">
        <x:v>90</x:v>
      </x:c>
      <x:c r="D22" s="1" t="n">
        <x:v>150</x:v>
      </x:c>
      <x:c r="E22" s="1"/>
    </x:row>
    <x:row r="23" ht="23" customHeight="1">
      <x:c r="A23" s="1" t="str">
        <x:v>Date confirmed (1 yes / 0 pending)</x:v>
      </x:c>
      <x:c r="B23" s="1" t="n">
        <x:v>1</x:v>
      </x:c>
      <x:c r="C23" s="1" t="n">
        <x:v>1</x:v>
      </x:c>
      <x:c r="D23" s="1" t="n">
        <x:v>0</x:v>
      </x:c>
      <x:c r="E23" s="1"/>
    </x:row>
    <x:row r="24" ht="23" customHeight="1">
      <x:c r="A24" s="1" t="str">
        <x:v>Billable people</x:v>
      </x:c>
      <x:c r="B24" s="1" t="n">
        <x:f>MAX($B$5,B19)</x:f>
        <x:v>80</x:v>
      </x:c>
      <x:c r="C24" s="1" t="n">
        <x:f>MAX($B$5,C19)</x:f>
        <x:v>80</x:v>
      </x:c>
      <x:c r="D24" s="1" t="n">
        <x:f>MAX($B$5,D19)</x:f>
        <x:v>90</x:v>
      </x:c>
      <x:c r="E24" s="1"/>
    </x:row>
    <x:row r="25" ht="23" customHeight="1">
      <x:c r="A25" s="1" t="str">
        <x:v>Food / package subtotal (EUR)</x:v>
      </x:c>
      <x:c r="B25" s="6" t="n">
        <x:f>B24*B18</x:f>
        <x:v>3840</x:v>
      </x:c>
      <x:c r="C25" s="6" t="n">
        <x:f>C24*C18</x:f>
        <x:v>4320</x:v>
      </x:c>
      <x:c r="D25" s="6" t="n">
        <x:f>D24*D18</x:f>
        <x:v>3960</x:v>
      </x:c>
      <x:c r="E25" s="1"/>
    </x:row>
    <x:row r="26" ht="23" customHeight="1">
      <x:c r="A26" s="1" t="str">
        <x:v>Service charge amount (EUR)</x:v>
      </x:c>
      <x:c r="B26" s="6" t="n">
        <x:f>B25*B21</x:f>
        <x:v>460.79999999999995</x:v>
      </x:c>
      <x:c r="C26" s="6" t="n">
        <x:f>C25*C21</x:f>
        <x:v>0</x:v>
      </x:c>
      <x:c r="D26" s="6" t="n">
        <x:f>D25*D21</x:f>
        <x:v>0</x:v>
      </x:c>
      <x:c r="E26" s="1"/>
    </x:row>
    <x:row r="27" ht="23" customHeight="1">
      <x:c r="A27" s="1"/>
      <x:c r="B27" s="1"/>
      <x:c r="C27" s="1"/>
      <x:c r="D27" s="1"/>
      <x:c r="E27" s="1"/>
    </x:row>
    <x:row r="28" ht="23" customHeight="1">
      <x:c r="A28" s="1" t="str">
        <x:v>Decision at initial 80 attendees</x:v>
      </x:c>
      <x:c r="B28" s="1" t="str">
        <x:v>Select Supplier B</x:v>
      </x:c>
      <x:c r="C28" s="1"/>
      <x:c r="D28" s="1"/>
      <x:c r="E28" s="1"/>
    </x:row>
    <x:row r="29" ht="23" customHeight="1">
      <x:c r="A29" s="1"/>
      <x:c r="B29" s="1"/>
      <x:c r="C29" s="1"/>
      <x:c r="D29" s="1"/>
      <x:c r="E29" s="1"/>
    </x:row>
    <x:row r="30" ht="23" customHeight="1">
      <x:c r="A30" s="9" t="str">
        <x:v>Sources and interpretation</x:v>
      </x:c>
      <x:c r="B30" s="9"/>
      <x:c r="C30" s="9"/>
      <x:c r="D30" s="9"/>
      <x:c r="E30" s="1"/>
    </x:row>
    <x:row r="31" ht="34" customHeight="1">
      <x:c r="A31" s="5" t="str">
        <x:v>Brief: 80 initial attendees; EUR 6,000 ceiling; fixed 20 November 2026; equivalent delivered, staffed lunch and refreshments.</x:v>
      </x:c>
      <x:c r="B31" s="5"/>
      <x:c r="C31" s="5"/>
      <x:c r="D31" s="5"/>
      <x:c r="E31" s="1"/>
    </x:row>
    <x:row r="32" ht="34" customHeight="1">
      <x:c r="A32" s="5" t="str">
        <x:v>A: Document A, Quote A-001 and Terms. EUR 48/person + EUR 450; 12% on food only; capacity 120; date confirmed.</x:v>
      </x:c>
      <x:c r="B32" s="5"/>
      <x:c r="C32" s="5"/>
      <x:c r="D32" s="5"/>
      <x:c r="E32" s="1"/>
    </x:row>
    <x:row r="33" ht="34" customHeight="1">
      <x:c r="A33" s="5" t="str">
        <x:v>A: EUR 4,290 quoted summary excludes EUR 460.80 compulsory service charge at 80 people.</x:v>
      </x:c>
      <x:c r="B33" s="5"/>
      <x:c r="C33" s="5"/>
      <x:c r="D33" s="5"/>
      <x:c r="E33" s="1"/>
    </x:row>
    <x:row r="34" ht="34" customHeight="1">
      <x:c r="A34" s="5" t="str">
        <x:v>B: Document B, Quote B-001. EUR 54/person all-inclusive; hard capacity 90; date confirmed; no extra charges.</x:v>
      </x:c>
      <x:c r="B34" s="5"/>
      <x:c r="C34" s="5"/>
      <x:c r="D34" s="5"/>
      <x:c r="E34" s="1"/>
    </x:row>
    <x:row r="35" ht="34" customHeight="1">
      <x:c r="A35" s="5" t="str">
        <x:v>C: Document C, Quote C-001. EUR 44/person, minimum 90 billable + EUR 700; capacity 150; written date confirmation pending.</x:v>
      </x:c>
      <x:c r="B35" s="5"/>
      <x:c r="C35" s="5"/>
      <x:c r="D35" s="5"/>
      <x:c r="E35" s="1"/>
    </x:row>
    <x:row r="36" ht="34" customHeight="1">
      <x:c r="A36" s="5" t="str">
        <x:v>Interpretation: 0 minimum for A/B means no minimum stated. All taxes are included; no extra taxes or invented charges.</x:v>
      </x:c>
      <x:c r="B36" s="5"/>
      <x:c r="C36" s="5"/>
      <x:c r="D36" s="5"/>
      <x:c r="E36" s="1"/>
    </x:row>
    <x:row r="37" ht="34" customHeight="1">
      <x:c r="A37" s="5" t="str">
        <x:v>Assumption: planning remains at 80 attendees. Confirm final headcount; B cannot serve more than 90 under this proposal.</x:v>
      </x:c>
      <x:c r="B37" s="5"/>
      <x:c r="C37" s="5"/>
      <x:c r="D37" s="5"/>
      <x:c r="E37" s="1"/>
    </x:row>
    <x:row r="38" ht="34" customHeight="1">
      <x:c r="A38" s="5" t="str">
        <x:v>If headcount changes, reassess selection. Totals beyond capacity are arithmetic only, not a service offer.</x:v>
      </x:c>
      <x:c r="B38" s="5"/>
      <x:c r="C38" s="5"/>
      <x:c r="D38" s="5"/>
      <x:c r="E38" s="1"/>
    </x:row>
    <x:row r="39" ht="34" customHeight="1">
      <x:c r="A39" s="5" t="str">
        <x:v>C cannot be approved without written date confirmation. No supplier contact or booking is authorised in this simulation.</x:v>
      </x:c>
      <x:c r="B39" s="5"/>
      <x:c r="C39" s="5"/>
      <x:c r="D39" s="5"/>
      <x:c r="E39" s="1"/>
    </x:row>
  </x:sheetData>
  <x:mergeCells>
    <x:mergeCell ref="A31:D31"/>
    <x:mergeCell ref="A32:D32"/>
    <x:mergeCell ref="A33:D33"/>
    <x:mergeCell ref="A34:D34"/>
    <x:mergeCell ref="A35:D35"/>
    <x:mergeCell ref="A36:D36"/>
    <x:mergeCell ref="A37:D37"/>
    <x:mergeCell ref="A38:D38"/>
    <x:mergeCell ref="A39:D39"/>
  </x:mergeCells>
  <x:conditionalFormatting sqref="B12:D15">
    <x:cfRule type="containsText" dxfId="0" priority="1" operator="containsText" text="No"/>
  </x:conditionalFormatting>
  <x:conditionalFormatting sqref="B14:D14">
    <x:cfRule type="containsText" dxfId="1" priority="2" operator="containsText" text="Pending"/>
  </x:conditionalFormatting>
  <x:dataValidations count="1">
    <x:dataValidation type="whole" operator="greaterThan" sqref="B5">
      <x:formula1>0</x:formula1>
    </x:dataValidation>
  </x:dataValidations>
  <x:pageMargins left="0.7" right="0.7" top="0.75" bottom="0.75" header="0.3" footer="0.3"/>
</x:worksheet>
</file>